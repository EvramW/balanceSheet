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xr:revisionPtr revIDLastSave="0" documentId="13_ncr:1_{B14CF326-BA85-40EE-8870-9B16B4D784CA}" xr6:coauthVersionLast="47" xr6:coauthVersionMax="47" xr10:uidLastSave="{00000000-0000-0000-0000-000000000000}"/>
  <bookViews>
    <workbookView xWindow="-120" yWindow="-120" windowWidth="20640" windowHeight="11040" xr2:uid="{C7DBF94B-76D0-4DB1-B5F9-1612F1925133}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Sheet1!$A$1:$G$24</definedName>
    <definedName name="_xlnm._FilterDatabase" localSheetId="1" hidden="1">Sheet2!$A$1:$AA$24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3" i="1" l="1"/>
  <c r="G23" i="1"/>
  <c r="B23" i="1"/>
  <c r="H22" i="1"/>
  <c r="G22" i="1"/>
  <c r="F22" i="1"/>
  <c r="F23" i="1" s="1"/>
  <c r="E22" i="1"/>
  <c r="E23" i="1" s="1"/>
  <c r="E24" i="1" s="1"/>
  <c r="D22" i="1"/>
  <c r="D23" i="1" s="1"/>
  <c r="C22" i="1"/>
  <c r="C23" i="1" s="1"/>
  <c r="C24" i="1" s="1"/>
  <c r="B22" i="1"/>
  <c r="F18" i="1"/>
  <c r="E18" i="1"/>
  <c r="D18" i="1"/>
  <c r="D24" i="1" s="1"/>
  <c r="H17" i="1"/>
  <c r="G17" i="1"/>
  <c r="F17" i="1"/>
  <c r="E17" i="1"/>
  <c r="D17" i="1"/>
  <c r="C17" i="1"/>
  <c r="B17" i="1"/>
  <c r="H16" i="1"/>
  <c r="G16" i="1"/>
  <c r="F16" i="1"/>
  <c r="E16" i="1"/>
  <c r="D16" i="1"/>
  <c r="C16" i="1"/>
  <c r="B16" i="1"/>
  <c r="H15" i="1"/>
  <c r="G15" i="1"/>
  <c r="F15" i="1"/>
  <c r="E15" i="1"/>
  <c r="D15" i="1"/>
  <c r="C15" i="1"/>
  <c r="B15" i="1"/>
  <c r="H14" i="1"/>
  <c r="G14" i="1"/>
  <c r="F14" i="1"/>
  <c r="E14" i="1"/>
  <c r="D14" i="1"/>
  <c r="C14" i="1"/>
  <c r="B14" i="1"/>
  <c r="H13" i="1"/>
  <c r="H18" i="1" s="1"/>
  <c r="H24" i="1" s="1"/>
  <c r="G13" i="1"/>
  <c r="G18" i="1" s="1"/>
  <c r="F13" i="1"/>
  <c r="E13" i="1"/>
  <c r="D13" i="1"/>
  <c r="C13" i="1"/>
  <c r="C18" i="1" s="1"/>
  <c r="B13" i="1"/>
  <c r="B18" i="1" s="1"/>
  <c r="F11" i="1"/>
  <c r="E11" i="1"/>
  <c r="H10" i="1"/>
  <c r="G10" i="1"/>
  <c r="F10" i="1"/>
  <c r="E10" i="1"/>
  <c r="D10" i="1"/>
  <c r="C10" i="1"/>
  <c r="H9" i="1"/>
  <c r="G9" i="1"/>
  <c r="F9" i="1"/>
  <c r="E9" i="1"/>
  <c r="D9" i="1"/>
  <c r="C9" i="1"/>
  <c r="B9" i="1"/>
  <c r="H8" i="1"/>
  <c r="G8" i="1"/>
  <c r="F8" i="1"/>
  <c r="E8" i="1"/>
  <c r="D8" i="1"/>
  <c r="C8" i="1"/>
  <c r="B8" i="1"/>
  <c r="H7" i="1"/>
  <c r="G7" i="1"/>
  <c r="F7" i="1"/>
  <c r="E7" i="1"/>
  <c r="D7" i="1"/>
  <c r="C7" i="1"/>
  <c r="B7" i="1"/>
  <c r="H6" i="1"/>
  <c r="H11" i="1" s="1"/>
  <c r="G6" i="1"/>
  <c r="G11" i="1" s="1"/>
  <c r="G12" i="1" s="1"/>
  <c r="F6" i="1"/>
  <c r="E6" i="1"/>
  <c r="D6" i="1"/>
  <c r="D11" i="1" s="1"/>
  <c r="C6" i="1"/>
  <c r="C11" i="1" s="1"/>
  <c r="B6" i="1"/>
  <c r="B11" i="1" s="1"/>
  <c r="B12" i="1" s="1"/>
  <c r="H5" i="1"/>
  <c r="G5" i="1"/>
  <c r="F5" i="1"/>
  <c r="F12" i="1" s="1"/>
  <c r="B5" i="1"/>
  <c r="H4" i="1"/>
  <c r="G4" i="1"/>
  <c r="F4" i="1"/>
  <c r="E4" i="1"/>
  <c r="D4" i="1"/>
  <c r="C4" i="1"/>
  <c r="B4" i="1"/>
  <c r="H3" i="1"/>
  <c r="G3" i="1"/>
  <c r="F3" i="1"/>
  <c r="E3" i="1"/>
  <c r="D3" i="1"/>
  <c r="C3" i="1"/>
  <c r="B3" i="1"/>
  <c r="H2" i="1"/>
  <c r="G2" i="1"/>
  <c r="F2" i="1"/>
  <c r="E2" i="1"/>
  <c r="E5" i="1" s="1"/>
  <c r="D2" i="1"/>
  <c r="D5" i="1" s="1"/>
  <c r="C2" i="1"/>
  <c r="C5" i="1" s="1"/>
  <c r="B2" i="1"/>
  <c r="H22" i="2"/>
  <c r="H23" i="2" s="1"/>
  <c r="G22" i="2"/>
  <c r="G23" i="2" s="1"/>
  <c r="F22" i="2"/>
  <c r="F23" i="2" s="1"/>
  <c r="E22" i="2"/>
  <c r="E23" i="2" s="1"/>
  <c r="D22" i="2"/>
  <c r="D23" i="2" s="1"/>
  <c r="C22" i="2"/>
  <c r="C23" i="2" s="1"/>
  <c r="B22" i="2"/>
  <c r="B23" i="2" s="1"/>
  <c r="H17" i="2"/>
  <c r="G17" i="2"/>
  <c r="F17" i="2"/>
  <c r="E17" i="2"/>
  <c r="D17" i="2"/>
  <c r="C17" i="2"/>
  <c r="B17" i="2"/>
  <c r="H16" i="2"/>
  <c r="G16" i="2"/>
  <c r="F16" i="2"/>
  <c r="E16" i="2"/>
  <c r="D16" i="2"/>
  <c r="C16" i="2"/>
  <c r="B16" i="2"/>
  <c r="H15" i="2"/>
  <c r="G15" i="2"/>
  <c r="F15" i="2"/>
  <c r="E15" i="2"/>
  <c r="D15" i="2"/>
  <c r="C15" i="2"/>
  <c r="B15" i="2"/>
  <c r="H14" i="2"/>
  <c r="G14" i="2"/>
  <c r="F14" i="2"/>
  <c r="E14" i="2"/>
  <c r="D14" i="2"/>
  <c r="C14" i="2"/>
  <c r="B14" i="2"/>
  <c r="H13" i="2"/>
  <c r="G13" i="2"/>
  <c r="F13" i="2"/>
  <c r="E13" i="2"/>
  <c r="D13" i="2"/>
  <c r="C13" i="2"/>
  <c r="B13" i="2"/>
  <c r="H10" i="2"/>
  <c r="G10" i="2"/>
  <c r="F10" i="2"/>
  <c r="E10" i="2"/>
  <c r="D10" i="2"/>
  <c r="C10" i="2"/>
  <c r="H9" i="2"/>
  <c r="G9" i="2"/>
  <c r="F9" i="2"/>
  <c r="E9" i="2"/>
  <c r="D9" i="2"/>
  <c r="C9" i="2"/>
  <c r="B9" i="2"/>
  <c r="H8" i="2"/>
  <c r="G8" i="2"/>
  <c r="F8" i="2"/>
  <c r="E8" i="2"/>
  <c r="D8" i="2"/>
  <c r="C8" i="2"/>
  <c r="B8" i="2"/>
  <c r="H7" i="2"/>
  <c r="G7" i="2"/>
  <c r="F7" i="2"/>
  <c r="E7" i="2"/>
  <c r="D7" i="2"/>
  <c r="C7" i="2"/>
  <c r="B7" i="2"/>
  <c r="H6" i="2"/>
  <c r="G6" i="2"/>
  <c r="F6" i="2"/>
  <c r="E6" i="2"/>
  <c r="D6" i="2"/>
  <c r="C6" i="2"/>
  <c r="B6" i="2"/>
  <c r="H4" i="2"/>
  <c r="G4" i="2"/>
  <c r="F4" i="2"/>
  <c r="E4" i="2"/>
  <c r="D4" i="2"/>
  <c r="C4" i="2"/>
  <c r="B4" i="2"/>
  <c r="H3" i="2"/>
  <c r="G3" i="2"/>
  <c r="F3" i="2"/>
  <c r="E3" i="2"/>
  <c r="D3" i="2"/>
  <c r="C3" i="2"/>
  <c r="B3" i="2"/>
  <c r="H2" i="2"/>
  <c r="G2" i="2"/>
  <c r="F2" i="2"/>
  <c r="E2" i="2"/>
  <c r="D2" i="2"/>
  <c r="C2" i="2"/>
  <c r="B2" i="2"/>
  <c r="D12" i="1" l="1"/>
  <c r="C12" i="1"/>
  <c r="F24" i="1"/>
  <c r="B24" i="1"/>
  <c r="H12" i="1"/>
  <c r="E12" i="1"/>
  <c r="G24" i="1"/>
  <c r="C5" i="2"/>
  <c r="B5" i="2"/>
  <c r="C18" i="2"/>
  <c r="C24" i="2" s="1"/>
  <c r="E5" i="2"/>
  <c r="G11" i="2"/>
  <c r="F18" i="2"/>
  <c r="F24" i="2" s="1"/>
  <c r="D5" i="2"/>
  <c r="F5" i="2"/>
  <c r="H11" i="2"/>
  <c r="G18" i="2"/>
  <c r="G24" i="2" s="1"/>
  <c r="H5" i="2"/>
  <c r="H18" i="2"/>
  <c r="H24" i="2" s="1"/>
  <c r="B18" i="2"/>
  <c r="B24" i="2" s="1"/>
  <c r="B11" i="2"/>
  <c r="E18" i="2"/>
  <c r="E24" i="2" s="1"/>
  <c r="C11" i="2"/>
  <c r="E11" i="2"/>
  <c r="D18" i="2"/>
  <c r="D24" i="2" s="1"/>
  <c r="D11" i="2"/>
  <c r="G5" i="2"/>
  <c r="F11" i="2"/>
  <c r="C12" i="2" l="1"/>
  <c r="F12" i="2"/>
  <c r="G12" i="2"/>
  <c r="H12" i="2"/>
  <c r="B12" i="2"/>
  <c r="D12" i="2"/>
  <c r="E12" i="2"/>
</calcChain>
</file>

<file path=xl/sharedStrings.xml><?xml version="1.0" encoding="utf-8"?>
<sst xmlns="http://schemas.openxmlformats.org/spreadsheetml/2006/main" count="46" uniqueCount="22">
  <si>
    <t>الاصول الثابته بالصافي :</t>
  </si>
  <si>
    <t>اعمال تحت التنفيذ</t>
  </si>
  <si>
    <t xml:space="preserve">ودائع صيانه </t>
  </si>
  <si>
    <t xml:space="preserve">مجموع الأصول الغير متداوله </t>
  </si>
  <si>
    <t>العملاء و اوراق القبض</t>
  </si>
  <si>
    <t>مدينون و ارصده مدينه اخرى</t>
  </si>
  <si>
    <t>النقديه و ما في حكمها</t>
  </si>
  <si>
    <t>المخزون</t>
  </si>
  <si>
    <t>مبالغ مستحقه لأطراف ذوي علاقه</t>
  </si>
  <si>
    <t xml:space="preserve">مجموع الأصول متداوله </t>
  </si>
  <si>
    <t>إجمالي الاصول</t>
  </si>
  <si>
    <t>موردين و أوراق دفع</t>
  </si>
  <si>
    <t>دائنون و ارصده دائنه اخرى</t>
  </si>
  <si>
    <t>بنوك تسهيلات</t>
  </si>
  <si>
    <t>التزامات ضريبية مؤجله</t>
  </si>
  <si>
    <t>مجموع الالتزامات المتداوله</t>
  </si>
  <si>
    <t>رأس المال</t>
  </si>
  <si>
    <t>احتياطي قانوني</t>
  </si>
  <si>
    <t>أرباح مرحله</t>
  </si>
  <si>
    <t>صافي أرباح / خسائر الفتره</t>
  </si>
  <si>
    <t>مجموع حقوق اصحاب الحصص</t>
  </si>
  <si>
    <t>إجمالي حقوق اصحاب الحصص و الالتزامات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</si>
</sst>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m\-yyyy"/>
    <numFmt numFmtId="165" formatCode="B1mmm\-yy"/>
  </numFmts>
  <fonts count="11" x14ac:knownFonts="1"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u/>
      <sz val="13"/>
      <color theme="1"/>
      <name val="Arial"/>
      <family val="2"/>
      <scheme val="minor"/>
    </font>
    <font>
      <b/>
      <u/>
      <sz val="13"/>
      <color theme="1"/>
      <name val="Arial"/>
      <family val="2"/>
    </font>
    <font>
      <b/>
      <sz val="12"/>
      <name val="Arial"/>
      <family val="2"/>
      <scheme val="minor"/>
    </font>
    <font>
      <sz val="1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u/>
      <sz val="14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3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164" fontId="2" fillId="2" borderId="0" xfId="0" applyNumberFormat="1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right" vertical="center"/>
    </xf>
    <xf numFmtId="43" fontId="6" fillId="2" borderId="1" xfId="1" applyFont="1" applyFill="1" applyBorder="1" applyAlignment="1">
      <alignment horizontal="center" vertical="center"/>
    </xf>
    <xf numFmtId="4" fontId="6" fillId="2" borderId="1" xfId="1" applyNumberFormat="1" applyFont="1" applyFill="1" applyBorder="1" applyAlignment="1">
      <alignment horizontal="center" vertical="center"/>
    </xf>
    <xf numFmtId="4" fontId="6" fillId="3" borderId="1" xfId="1" applyNumberFormat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" fontId="6" fillId="2" borderId="2" xfId="1" applyNumberFormat="1" applyFont="1" applyFill="1" applyBorder="1" applyAlignment="1">
      <alignment horizontal="center" vertical="center"/>
    </xf>
    <xf numFmtId="4" fontId="6" fillId="3" borderId="2" xfId="1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right" vertical="center"/>
    </xf>
    <xf numFmtId="43" fontId="7" fillId="4" borderId="2" xfId="1" applyFont="1" applyFill="1" applyBorder="1" applyAlignment="1">
      <alignment horizontal="center" vertical="center"/>
    </xf>
    <xf numFmtId="4" fontId="7" fillId="4" borderId="2" xfId="1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/>
    </xf>
    <xf numFmtId="43" fontId="9" fillId="5" borderId="2" xfId="1" applyFont="1" applyFill="1" applyBorder="1" applyAlignment="1">
      <alignment horizontal="center" vertical="center"/>
    </xf>
    <xf numFmtId="3" fontId="9" fillId="5" borderId="2" xfId="1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3" fontId="9" fillId="5" borderId="3" xfId="1" applyNumberFormat="1" applyFont="1" applyFill="1" applyBorder="1" applyAlignment="1">
      <alignment horizontal="center" vertical="center"/>
    </xf>
    <xf numFmtId="43" fontId="10" fillId="5" borderId="3" xfId="1" applyFont="1" applyFill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ustomerDatabase\&#1605;&#1610;&#1586;&#1575;&#1606;&#1610;&#1577;\2026\AATC%206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قائمة الدخل"/>
      <sheetName val="ميزانيه"/>
      <sheetName val="الايضاحات"/>
    </sheetNames>
    <sheetDataSet>
      <sheetData sheetId="0">
        <row r="36">
          <cell r="O36">
            <v>1803626.7499999756</v>
          </cell>
          <cell r="Q36">
            <v>10102344.589999976</v>
          </cell>
          <cell r="S36">
            <v>13372462.680000003</v>
          </cell>
          <cell r="U36">
            <v>7088687.7199999718</v>
          </cell>
          <cell r="W36">
            <v>6033176.7500000028</v>
          </cell>
          <cell r="Y36">
            <v>5096691.0900000576</v>
          </cell>
          <cell r="AA36">
            <v>19013087.240000173</v>
          </cell>
        </row>
      </sheetData>
      <sheetData sheetId="1"/>
      <sheetData sheetId="2">
        <row r="10">
          <cell r="P10">
            <v>28287588.039999999</v>
          </cell>
          <cell r="R10">
            <v>27663588.039999999</v>
          </cell>
          <cell r="T10">
            <v>27663588.039999999</v>
          </cell>
          <cell r="V10">
            <v>25264504.039999999</v>
          </cell>
          <cell r="X10">
            <v>25264504.039999999</v>
          </cell>
          <cell r="Z10">
            <v>25264504.039999999</v>
          </cell>
          <cell r="AB10">
            <v>25264504.039999999</v>
          </cell>
        </row>
        <row r="13">
          <cell r="P13">
            <v>22199177.149999999</v>
          </cell>
          <cell r="R13">
            <v>21766987.909999996</v>
          </cell>
          <cell r="T13">
            <v>21958105.329999998</v>
          </cell>
          <cell r="V13">
            <v>19733077.309999999</v>
          </cell>
          <cell r="X13">
            <v>19903916.759999998</v>
          </cell>
          <cell r="Z13">
            <v>20074784.07</v>
          </cell>
          <cell r="AB13">
            <v>20245724.849999998</v>
          </cell>
        </row>
        <row r="23">
          <cell r="P23">
            <v>14943580.889999989</v>
          </cell>
          <cell r="R23">
            <v>13711093.810000001</v>
          </cell>
          <cell r="T23">
            <v>16704395.5</v>
          </cell>
          <cell r="V23">
            <v>7370521.9300000072</v>
          </cell>
          <cell r="X23">
            <v>22488344.050000008</v>
          </cell>
          <cell r="Z23">
            <v>40175935.459999979</v>
          </cell>
          <cell r="AB23">
            <v>48312473.840000004</v>
          </cell>
        </row>
        <row r="39">
          <cell r="P39">
            <v>-0.30999999865889549</v>
          </cell>
          <cell r="R39">
            <v>-0.30999999865889549</v>
          </cell>
          <cell r="T39">
            <v>-0.30999999865889549</v>
          </cell>
          <cell r="V39">
            <v>-0.30999999865889549</v>
          </cell>
          <cell r="X39">
            <v>-0.30999999865889549</v>
          </cell>
          <cell r="Z39">
            <v>-0.30999999865889549</v>
          </cell>
          <cell r="AB39">
            <v>-0.30999999865889499</v>
          </cell>
        </row>
        <row r="49">
          <cell r="P49">
            <v>21865000.519999959</v>
          </cell>
          <cell r="R49">
            <v>54827135.009999961</v>
          </cell>
          <cell r="T49">
            <v>41244559.470000014</v>
          </cell>
          <cell r="V49">
            <v>31136322.539999995</v>
          </cell>
          <cell r="X49">
            <v>9514470.6399999894</v>
          </cell>
          <cell r="Z49">
            <v>10873933.310000006</v>
          </cell>
          <cell r="AB49">
            <v>30131838.569999985</v>
          </cell>
        </row>
        <row r="59">
          <cell r="R59">
            <v>3416615.87</v>
          </cell>
          <cell r="T59">
            <v>3637923.2</v>
          </cell>
          <cell r="V59">
            <v>3637923.2</v>
          </cell>
          <cell r="X59">
            <v>3404110.7</v>
          </cell>
          <cell r="Z59">
            <v>3636923.24</v>
          </cell>
          <cell r="AB59">
            <v>3636923.24</v>
          </cell>
        </row>
        <row r="69">
          <cell r="X69">
            <v>0</v>
          </cell>
        </row>
        <row r="90">
          <cell r="P90">
            <v>457416.99000000948</v>
          </cell>
          <cell r="R90">
            <v>452680.99000000948</v>
          </cell>
          <cell r="T90">
            <v>422675.99000000948</v>
          </cell>
          <cell r="V90">
            <v>391625.81999999279</v>
          </cell>
          <cell r="X90">
            <v>134813.46000000829</v>
          </cell>
          <cell r="Z90">
            <v>-321246.90000000602</v>
          </cell>
          <cell r="AB90">
            <v>4.6100000143051147</v>
          </cell>
        </row>
        <row r="104">
          <cell r="X104">
            <v>0</v>
          </cell>
          <cell r="Z104">
            <v>0</v>
          </cell>
        </row>
        <row r="112">
          <cell r="P112">
            <v>12923.44</v>
          </cell>
          <cell r="R112">
            <v>12923.44</v>
          </cell>
          <cell r="T112">
            <v>12923.44</v>
          </cell>
          <cell r="V112">
            <v>12923.44</v>
          </cell>
          <cell r="X112">
            <v>12923.44</v>
          </cell>
          <cell r="Z112">
            <v>12923.44</v>
          </cell>
          <cell r="AB112">
            <v>12923.44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14BED-4A82-49F0-AB48-4A735E1CAC39}">
  <dimension ref="A1:H24"/>
  <sheetViews>
    <sheetView tabSelected="1" workbookViewId="0">
      <selection sqref="A1:H24"/>
    </sheetView>
  </sheetViews>
  <sheetFormatPr defaultRowHeight="14.25" x14ac:dyDescent="0.2"/>
  <cols>
    <col min="1" max="1" width="35.375" bestFit="1" customWidth="1"/>
    <col min="2" max="2" width="19.875" bestFit="1" customWidth="1"/>
    <col min="3" max="3" width="16.375" bestFit="1" customWidth="1"/>
    <col min="4" max="8" width="15.125" bestFit="1" customWidth="1"/>
  </cols>
  <sheetData>
    <row r="1" spans="1:8" ht="17.25" thickBot="1" x14ac:dyDescent="0.25">
      <c r="A1" s="1"/>
      <c r="B1" s="2">
        <v>46174</v>
      </c>
      <c r="C1" s="2">
        <v>46143</v>
      </c>
      <c r="D1" s="2">
        <v>46113</v>
      </c>
      <c r="E1" s="2">
        <v>46082</v>
      </c>
      <c r="F1" s="2">
        <v>46054</v>
      </c>
      <c r="G1" s="2">
        <v>46023</v>
      </c>
      <c r="H1" s="2">
        <v>45992</v>
      </c>
    </row>
    <row r="2" spans="1:8" x14ac:dyDescent="0.2">
      <c r="A2" s="3" t="s">
        <v>0</v>
      </c>
      <c r="B2" s="4">
        <f>[1]الايضاحات!P10</f>
        <v>28287588.039999999</v>
      </c>
      <c r="C2" s="4">
        <f>[1]الايضاحات!R10</f>
        <v>27663588.039999999</v>
      </c>
      <c r="D2" s="4">
        <f>[1]الايضاحات!T10</f>
        <v>27663588.039999999</v>
      </c>
      <c r="E2" s="5">
        <f>[1]الايضاحات!V10</f>
        <v>25264504.039999999</v>
      </c>
      <c r="F2" s="5">
        <f>[1]الايضاحات!X10</f>
        <v>25264504.039999999</v>
      </c>
      <c r="G2" s="5">
        <f>[1]الايضاحات!Z10</f>
        <v>25264504.039999999</v>
      </c>
      <c r="H2" s="6">
        <f>[1]الايضاحات!AB10</f>
        <v>25264504.039999999</v>
      </c>
    </row>
    <row r="3" spans="1:8" x14ac:dyDescent="0.2">
      <c r="A3" s="3" t="s">
        <v>1</v>
      </c>
      <c r="B3" s="7">
        <f>[1]الايضاحات!P12</f>
        <v>0</v>
      </c>
      <c r="C3" s="7">
        <f>[1]الايضاحات!R12</f>
        <v>0</v>
      </c>
      <c r="D3" s="7">
        <f>[1]الايضاحات!T12</f>
        <v>0</v>
      </c>
      <c r="E3" s="8">
        <f>[1]الايضاحات!V12</f>
        <v>0</v>
      </c>
      <c r="F3" s="8">
        <f>[1]الايضاحات!X12</f>
        <v>0</v>
      </c>
      <c r="G3" s="8">
        <f>[1]الايضاحات!Z12</f>
        <v>0</v>
      </c>
      <c r="H3" s="9">
        <f>[1]الايضاحات!AB12</f>
        <v>0</v>
      </c>
    </row>
    <row r="4" spans="1:8" x14ac:dyDescent="0.2">
      <c r="A4" s="3" t="s">
        <v>2</v>
      </c>
      <c r="B4" s="7">
        <f>[1]الايضاحات!P13</f>
        <v>22199177.149999999</v>
      </c>
      <c r="C4" s="7">
        <f>[1]الايضاحات!R13</f>
        <v>21766987.909999996</v>
      </c>
      <c r="D4" s="7">
        <f>[1]الايضاحات!T13</f>
        <v>21958105.329999998</v>
      </c>
      <c r="E4" s="8">
        <f>[1]الايضاحات!V13</f>
        <v>19733077.309999999</v>
      </c>
      <c r="F4" s="8">
        <f>[1]الايضاحات!X13</f>
        <v>19903916.759999998</v>
      </c>
      <c r="G4" s="8">
        <f>[1]الايضاحات!Z13</f>
        <v>20074784.07</v>
      </c>
      <c r="H4" s="9">
        <f>[1]الايضاحات!AB13</f>
        <v>20245724.849999998</v>
      </c>
    </row>
    <row r="5" spans="1:8" ht="15.75" x14ac:dyDescent="0.2">
      <c r="A5" s="10" t="s">
        <v>3</v>
      </c>
      <c r="B5" s="11">
        <f>SUM(B2:B4)</f>
        <v>50486765.189999998</v>
      </c>
      <c r="C5" s="11">
        <f>SUM(C2:C4)</f>
        <v>49430575.949999996</v>
      </c>
      <c r="D5" s="11">
        <f>SUM(D2:D4)</f>
        <v>49621693.369999997</v>
      </c>
      <c r="E5" s="12">
        <f>SUM(E2:E4)</f>
        <v>44997581.349999994</v>
      </c>
      <c r="F5" s="12">
        <f>SUM(F2:F4)</f>
        <v>45168420.799999997</v>
      </c>
      <c r="G5" s="12">
        <f>SUM(G2:G4)</f>
        <v>45339288.109999999</v>
      </c>
      <c r="H5" s="12">
        <f>SUM(H2:H4)</f>
        <v>45510228.890000001</v>
      </c>
    </row>
    <row r="6" spans="1:8" x14ac:dyDescent="0.2">
      <c r="A6" s="3" t="s">
        <v>4</v>
      </c>
      <c r="B6" s="7">
        <f>[1]الايضاحات!P23</f>
        <v>14943580.889999989</v>
      </c>
      <c r="C6" s="7">
        <f>[1]الايضاحات!R23</f>
        <v>13711093.810000001</v>
      </c>
      <c r="D6" s="7">
        <f>[1]الايضاحات!T23</f>
        <v>16704395.5</v>
      </c>
      <c r="E6" s="8">
        <f>[1]الايضاحات!V23</f>
        <v>7370521.9300000072</v>
      </c>
      <c r="F6" s="8">
        <f>[1]الايضاحات!X23</f>
        <v>22488344.050000008</v>
      </c>
      <c r="G6" s="8">
        <f>[1]الايضاحات!Z23</f>
        <v>40175935.459999979</v>
      </c>
      <c r="H6" s="9">
        <f>[1]الايضاحات!AB23</f>
        <v>48312473.840000004</v>
      </c>
    </row>
    <row r="7" spans="1:8" x14ac:dyDescent="0.2">
      <c r="A7" s="3" t="s">
        <v>5</v>
      </c>
      <c r="B7" s="7">
        <f>[1]الايضاحات!P39</f>
        <v>-0.30999999865889549</v>
      </c>
      <c r="C7" s="7">
        <f>[1]الايضاحات!R39</f>
        <v>-0.30999999865889549</v>
      </c>
      <c r="D7" s="7">
        <f>[1]الايضاحات!T39</f>
        <v>-0.30999999865889549</v>
      </c>
      <c r="E7" s="8">
        <f>[1]الايضاحات!V39</f>
        <v>-0.30999999865889549</v>
      </c>
      <c r="F7" s="8">
        <f>[1]الايضاحات!X39</f>
        <v>-0.30999999865889549</v>
      </c>
      <c r="G7" s="8">
        <f>[1]الايضاحات!Z39</f>
        <v>-0.30999999865889549</v>
      </c>
      <c r="H7" s="9">
        <f>[1]الايضاحات!AB39</f>
        <v>-0.30999999865889499</v>
      </c>
    </row>
    <row r="8" spans="1:8" x14ac:dyDescent="0.2">
      <c r="A8" s="3" t="s">
        <v>6</v>
      </c>
      <c r="B8" s="7">
        <f>[1]الايضاحات!P49</f>
        <v>21865000.519999959</v>
      </c>
      <c r="C8" s="7">
        <f>[1]الايضاحات!R49</f>
        <v>54827135.009999961</v>
      </c>
      <c r="D8" s="7">
        <f>[1]الايضاحات!T49</f>
        <v>41244559.470000014</v>
      </c>
      <c r="E8" s="8">
        <f>[1]الايضاحات!V49</f>
        <v>31136322.539999995</v>
      </c>
      <c r="F8" s="8">
        <f>[1]الايضاحات!X49</f>
        <v>9514470.6399999894</v>
      </c>
      <c r="G8" s="8">
        <f>[1]الايضاحات!Z49</f>
        <v>10873933.310000006</v>
      </c>
      <c r="H8" s="9">
        <f>[1]الايضاحات!AB49</f>
        <v>30131838.569999985</v>
      </c>
    </row>
    <row r="9" spans="1:8" x14ac:dyDescent="0.2">
      <c r="A9" s="3" t="s">
        <v>7</v>
      </c>
      <c r="B9" s="7">
        <f>[1]الايضاحات!P53</f>
        <v>0</v>
      </c>
      <c r="C9" s="7">
        <f>[1]الايضاحات!R53</f>
        <v>0</v>
      </c>
      <c r="D9" s="7">
        <f>[1]الايضاحات!T53</f>
        <v>0</v>
      </c>
      <c r="E9" s="8">
        <f>[1]الايضاحات!V53</f>
        <v>0</v>
      </c>
      <c r="F9" s="8">
        <f>[1]الايضاحات!X53</f>
        <v>0</v>
      </c>
      <c r="G9" s="8">
        <f>[1]الايضاحات!Z53</f>
        <v>0</v>
      </c>
      <c r="H9" s="9">
        <f>[1]الايضاحات!AB53</f>
        <v>0</v>
      </c>
    </row>
    <row r="10" spans="1:8" x14ac:dyDescent="0.2">
      <c r="A10" s="3" t="s">
        <v>8</v>
      </c>
      <c r="B10" s="7">
        <v>3637923.2</v>
      </c>
      <c r="C10" s="7">
        <f>[1]الايضاحات!R59</f>
        <v>3416615.87</v>
      </c>
      <c r="D10" s="7">
        <f>[1]الايضاحات!T59</f>
        <v>3637923.2</v>
      </c>
      <c r="E10" s="8">
        <f>[1]الايضاحات!V59</f>
        <v>3637923.2</v>
      </c>
      <c r="F10" s="8">
        <f>[1]الايضاحات!X59</f>
        <v>3404110.7</v>
      </c>
      <c r="G10" s="8">
        <f>[1]الايضاحات!Z59</f>
        <v>3636923.24</v>
      </c>
      <c r="H10" s="9">
        <f>[1]الايضاحات!AB59</f>
        <v>3636923.24</v>
      </c>
    </row>
    <row r="11" spans="1:8" ht="15.75" x14ac:dyDescent="0.2">
      <c r="A11" s="10" t="s">
        <v>9</v>
      </c>
      <c r="B11" s="11">
        <f>SUM(B6:B10)</f>
        <v>40446504.299999952</v>
      </c>
      <c r="C11" s="11">
        <f>SUM(C6:C10)</f>
        <v>71954844.379999965</v>
      </c>
      <c r="D11" s="11">
        <f>SUM(D6:D10)</f>
        <v>61586877.860000014</v>
      </c>
      <c r="E11" s="12">
        <f>SUM(E6:E10)</f>
        <v>42144767.360000007</v>
      </c>
      <c r="F11" s="12">
        <f>SUM(F6:F10)</f>
        <v>35406925.079999998</v>
      </c>
      <c r="G11" s="12">
        <f>SUM(G6:G10)</f>
        <v>54686791.699999981</v>
      </c>
      <c r="H11" s="12">
        <f>SUM(H6:H10)</f>
        <v>82081235.339999989</v>
      </c>
    </row>
    <row r="12" spans="1:8" ht="18" x14ac:dyDescent="0.25">
      <c r="A12" s="13" t="s">
        <v>10</v>
      </c>
      <c r="B12" s="14">
        <f>B11+B5</f>
        <v>90933269.48999995</v>
      </c>
      <c r="C12" s="14">
        <f>C11+C5</f>
        <v>121385420.32999995</v>
      </c>
      <c r="D12" s="15">
        <f>D5+D11</f>
        <v>111208571.23000002</v>
      </c>
      <c r="E12" s="15">
        <f>E11+E5</f>
        <v>87142348.710000008</v>
      </c>
      <c r="F12" s="15">
        <f>F11+F5</f>
        <v>80575345.879999995</v>
      </c>
      <c r="G12" s="15">
        <f>G11+G5</f>
        <v>100026079.80999997</v>
      </c>
      <c r="H12" s="15">
        <f>H5+H11</f>
        <v>127591464.22999999</v>
      </c>
    </row>
    <row r="13" spans="1:8" x14ac:dyDescent="0.2">
      <c r="A13" s="3" t="s">
        <v>11</v>
      </c>
      <c r="B13" s="7">
        <f>[1]الايضاحات!P69</f>
        <v>0</v>
      </c>
      <c r="C13" s="7">
        <f>[1]الايضاحات!R69</f>
        <v>0</v>
      </c>
      <c r="D13" s="7">
        <f>[1]الايضاحات!T69</f>
        <v>0</v>
      </c>
      <c r="E13" s="8">
        <f>[1]الايضاحات!V69</f>
        <v>0</v>
      </c>
      <c r="F13" s="8">
        <f>[1]الايضاحات!X69</f>
        <v>0</v>
      </c>
      <c r="G13" s="8">
        <f>[1]الايضاحات!Z69</f>
        <v>0</v>
      </c>
      <c r="H13" s="9">
        <f>[1]الايضاحات!AB69</f>
        <v>0</v>
      </c>
    </row>
    <row r="14" spans="1:8" x14ac:dyDescent="0.2">
      <c r="A14" s="3" t="s">
        <v>12</v>
      </c>
      <c r="B14" s="7">
        <f>[1]الايضاحات!P90</f>
        <v>457416.99000000948</v>
      </c>
      <c r="C14" s="7">
        <f>[1]الايضاحات!R90</f>
        <v>452680.99000000948</v>
      </c>
      <c r="D14" s="7">
        <f>[1]الايضاحات!T90</f>
        <v>422675.99000000948</v>
      </c>
      <c r="E14" s="8">
        <f>[1]الايضاحات!V90</f>
        <v>391625.81999999279</v>
      </c>
      <c r="F14" s="8">
        <f>[1]الايضاحات!X90</f>
        <v>134813.46000000829</v>
      </c>
      <c r="G14" s="8">
        <f>[1]الايضاحات!Z90</f>
        <v>-321246.90000000602</v>
      </c>
      <c r="H14" s="9">
        <f>[1]الايضاحات!AB90</f>
        <v>4.6100000143051147</v>
      </c>
    </row>
    <row r="15" spans="1:8" x14ac:dyDescent="0.2">
      <c r="A15" s="3" t="s">
        <v>13</v>
      </c>
      <c r="B15" s="7">
        <f>[1]الايضاحات!P104</f>
        <v>0</v>
      </c>
      <c r="C15" s="7">
        <f>[1]الايضاحات!R104</f>
        <v>0</v>
      </c>
      <c r="D15" s="7">
        <f>[1]الايضاحات!T104</f>
        <v>0</v>
      </c>
      <c r="E15" s="8">
        <f>[1]الايضاحات!V104</f>
        <v>0</v>
      </c>
      <c r="F15" s="8">
        <f>[1]الايضاحات!X104</f>
        <v>0</v>
      </c>
      <c r="G15" s="8">
        <f>[1]الايضاحات!Z104</f>
        <v>0</v>
      </c>
      <c r="H15" s="9">
        <f>[1]الايضاحات!AB104</f>
        <v>0</v>
      </c>
    </row>
    <row r="16" spans="1:8" x14ac:dyDescent="0.2">
      <c r="A16" s="3" t="s">
        <v>14</v>
      </c>
      <c r="B16" s="8">
        <f>727553+59413</f>
        <v>786966</v>
      </c>
      <c r="C16" s="8">
        <f>727553+59413</f>
        <v>786966</v>
      </c>
      <c r="D16" s="8">
        <f>727553+59413</f>
        <v>786966</v>
      </c>
      <c r="E16" s="8">
        <f>727553+59413</f>
        <v>786966</v>
      </c>
      <c r="F16" s="8">
        <f>727553+59413</f>
        <v>786966</v>
      </c>
      <c r="G16" s="8">
        <f>727553+59413</f>
        <v>786966</v>
      </c>
      <c r="H16" s="9">
        <f>727553+59413</f>
        <v>786966</v>
      </c>
    </row>
    <row r="17" spans="1:8" x14ac:dyDescent="0.2">
      <c r="A17" s="3" t="s">
        <v>8</v>
      </c>
      <c r="B17" s="7">
        <f>[1]الايضاحات!P112</f>
        <v>12923.44</v>
      </c>
      <c r="C17" s="7">
        <f>[1]الايضاحات!R112</f>
        <v>12923.44</v>
      </c>
      <c r="D17" s="7">
        <f>[1]الايضاحات!T112</f>
        <v>12923.44</v>
      </c>
      <c r="E17" s="8">
        <f>[1]الايضاحات!V112</f>
        <v>12923.44</v>
      </c>
      <c r="F17" s="8">
        <f>[1]الايضاحات!X112</f>
        <v>12923.44</v>
      </c>
      <c r="G17" s="8">
        <f>[1]الايضاحات!Z112</f>
        <v>12923.44</v>
      </c>
      <c r="H17" s="9">
        <f>[1]الايضاحات!AB112</f>
        <v>12923.44</v>
      </c>
    </row>
    <row r="18" spans="1:8" ht="15.75" x14ac:dyDescent="0.2">
      <c r="A18" s="10" t="s">
        <v>15</v>
      </c>
      <c r="B18" s="11">
        <f>SUM(B13:B17)</f>
        <v>1257306.4300000095</v>
      </c>
      <c r="C18" s="11">
        <f>SUM(C13:C17)</f>
        <v>1252570.4300000095</v>
      </c>
      <c r="D18" s="11">
        <f>SUM(D13:D17)</f>
        <v>1222565.4300000095</v>
      </c>
      <c r="E18" s="12">
        <f>SUM(E13:E17)</f>
        <v>1191515.2599999928</v>
      </c>
      <c r="F18" s="12">
        <f>SUM(F13:F17)</f>
        <v>934702.90000000829</v>
      </c>
      <c r="G18" s="12">
        <f>SUM(G13:G17)</f>
        <v>478642.53999999398</v>
      </c>
      <c r="H18" s="12">
        <f>SUM(H13:H17)</f>
        <v>799894.05000001425</v>
      </c>
    </row>
    <row r="19" spans="1:8" x14ac:dyDescent="0.2">
      <c r="A19" s="3" t="s">
        <v>16</v>
      </c>
      <c r="B19" s="7">
        <v>8000000</v>
      </c>
      <c r="C19" s="7">
        <v>8000000</v>
      </c>
      <c r="D19" s="7">
        <v>8000000</v>
      </c>
      <c r="E19" s="8">
        <v>8000000</v>
      </c>
      <c r="F19" s="8">
        <v>8000000</v>
      </c>
      <c r="G19" s="8">
        <v>8000000</v>
      </c>
      <c r="H19" s="9">
        <v>8000000</v>
      </c>
    </row>
    <row r="20" spans="1:8" x14ac:dyDescent="0.2">
      <c r="A20" s="3" t="s">
        <v>17</v>
      </c>
      <c r="B20" s="7">
        <v>4000000</v>
      </c>
      <c r="C20" s="7">
        <v>4000000</v>
      </c>
      <c r="D20" s="7">
        <v>4000000</v>
      </c>
      <c r="E20" s="8">
        <v>4000000</v>
      </c>
      <c r="F20" s="8">
        <v>4000000</v>
      </c>
      <c r="G20" s="8">
        <v>4000000</v>
      </c>
      <c r="H20" s="9">
        <v>4000000</v>
      </c>
    </row>
    <row r="21" spans="1:8" x14ac:dyDescent="0.2">
      <c r="A21" s="3" t="s">
        <v>18</v>
      </c>
      <c r="B21" s="7">
        <v>224248873.15000001</v>
      </c>
      <c r="C21" s="7">
        <v>224248873.15000001</v>
      </c>
      <c r="D21" s="7">
        <v>224248873.15000001</v>
      </c>
      <c r="E21" s="8">
        <v>224248873.15000001</v>
      </c>
      <c r="F21" s="8">
        <v>224248873.15000001</v>
      </c>
      <c r="G21" s="8">
        <v>224248873.15000001</v>
      </c>
      <c r="H21" s="9">
        <v>205235785.91</v>
      </c>
    </row>
    <row r="22" spans="1:8" x14ac:dyDescent="0.2">
      <c r="A22" s="3" t="s">
        <v>19</v>
      </c>
      <c r="B22" s="7">
        <f>'[1]قائمة الدخل'!O36</f>
        <v>1803626.7499999756</v>
      </c>
      <c r="C22" s="7">
        <f>'[1]قائمة الدخل'!Q36</f>
        <v>10102344.589999976</v>
      </c>
      <c r="D22" s="7">
        <f>'[1]قائمة الدخل'!S36</f>
        <v>13372462.680000003</v>
      </c>
      <c r="E22" s="8">
        <f>'[1]قائمة الدخل'!U36</f>
        <v>7088687.7199999718</v>
      </c>
      <c r="F22" s="8">
        <f>'[1]قائمة الدخل'!W36</f>
        <v>6033176.7500000028</v>
      </c>
      <c r="G22" s="8">
        <f>'[1]قائمة الدخل'!Y36</f>
        <v>5096691.0900000576</v>
      </c>
      <c r="H22" s="9">
        <f>'[1]قائمة الدخل'!AA36</f>
        <v>19013087.240000173</v>
      </c>
    </row>
    <row r="23" spans="1:8" ht="15.75" x14ac:dyDescent="0.2">
      <c r="A23" s="10" t="s">
        <v>20</v>
      </c>
      <c r="B23" s="11">
        <f>SUM(B19:B22)</f>
        <v>238052499.89999998</v>
      </c>
      <c r="C23" s="11">
        <f>SUM(C19:C22)</f>
        <v>246351217.73999998</v>
      </c>
      <c r="D23" s="11">
        <f>SUM(D19:D22)</f>
        <v>249621335.83000001</v>
      </c>
      <c r="E23" s="12">
        <f>SUM(E19:E22)</f>
        <v>243337560.86999997</v>
      </c>
      <c r="F23" s="12">
        <f>SUM(F19:F22)</f>
        <v>242282049.90000001</v>
      </c>
      <c r="G23" s="12">
        <f>SUM(G19:G22)</f>
        <v>241345564.24000007</v>
      </c>
      <c r="H23" s="12">
        <f>SUM(H19:H22)</f>
        <v>236248873.15000015</v>
      </c>
    </row>
    <row r="24" spans="1:8" ht="18.75" thickBot="1" x14ac:dyDescent="0.25">
      <c r="A24" s="16" t="s">
        <v>21</v>
      </c>
      <c r="B24" s="18">
        <f>B23+B18</f>
        <v>239309806.32999998</v>
      </c>
      <c r="C24" s="17">
        <f>C23+C18</f>
        <v>247603788.16999999</v>
      </c>
      <c r="D24" s="17">
        <f>D18+D23</f>
        <v>250843901.26000002</v>
      </c>
      <c r="E24" s="17">
        <f>E23+E18</f>
        <v>244529076.12999997</v>
      </c>
      <c r="F24" s="17">
        <f>F18+F23</f>
        <v>243216752.80000001</v>
      </c>
      <c r="G24" s="17">
        <f>G23+G18</f>
        <v>241824206.78000006</v>
      </c>
      <c r="H24" s="17">
        <f>H18+H23</f>
        <v>237048767.20000017</v>
      </c>
    </row>
  </sheetData>
  <autoFilter ref="A1:G24" xr:uid="{C4E14BED-4A82-49F0-AB48-4A735E1CAC3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9DD0B-B807-40B8-A766-55A084718CAF}">
  <dimension ref="A1:H24"/>
  <sheetViews>
    <sheetView workbookViewId="0">
      <selection activeCell="H24" sqref="A1:H24"/>
    </sheetView>
  </sheetViews>
  <sheetFormatPr defaultRowHeight="14.25" x14ac:dyDescent="0.2"/>
  <cols>
    <col min="1" max="1" width="35.375" bestFit="1" customWidth="1"/>
    <col min="2" max="2" width="18.5" bestFit="1" customWidth="1"/>
    <col min="3" max="3" width="19.875" bestFit="1" customWidth="1"/>
    <col min="4" max="4" width="16.375" bestFit="1" customWidth="1"/>
    <col min="5" max="8" width="15.125" bestFit="1" customWidth="1"/>
  </cols>
  <sheetData>
    <row r="1" spans="1:8" ht="17.25" thickBot="1" x14ac:dyDescent="0.25">
      <c r="A1" s="1"/>
      <c r="B1" s="2">
        <v>46174</v>
      </c>
      <c r="C1" s="2">
        <v>46143</v>
      </c>
      <c r="D1" s="2">
        <v>46113</v>
      </c>
      <c r="E1" s="2">
        <v>46082</v>
      </c>
      <c r="F1" s="2">
        <v>46054</v>
      </c>
      <c r="G1" s="2">
        <v>46023</v>
      </c>
      <c r="H1" s="2">
        <v>45992</v>
      </c>
    </row>
    <row r="2" spans="1:8" x14ac:dyDescent="0.2">
      <c r="A2" s="3" t="s">
        <v>0</v>
      </c>
      <c r="B2" s="4">
        <f>[1]الايضاحات!P10</f>
        <v>28287588.039999999</v>
      </c>
      <c r="C2" s="4">
        <f>[1]الايضاحات!R10</f>
        <v>27663588.039999999</v>
      </c>
      <c r="D2" s="4">
        <f>[1]الايضاحات!T10</f>
        <v>27663588.039999999</v>
      </c>
      <c r="E2" s="5">
        <f>[1]الايضاحات!V10</f>
        <v>25264504.039999999</v>
      </c>
      <c r="F2" s="5">
        <f>[1]الايضاحات!X10</f>
        <v>25264504.039999999</v>
      </c>
      <c r="G2" s="5">
        <f>[1]الايضاحات!Z10</f>
        <v>25264504.039999999</v>
      </c>
      <c r="H2" s="6">
        <f>[1]الايضاحات!AB10</f>
        <v>25264504.039999999</v>
      </c>
    </row>
    <row r="3" spans="1:8" x14ac:dyDescent="0.2">
      <c r="A3" s="3" t="s">
        <v>1</v>
      </c>
      <c r="B3" s="7">
        <f>[1]الايضاحات!P12</f>
        <v>0</v>
      </c>
      <c r="C3" s="7">
        <f>[1]الايضاحات!R12</f>
        <v>0</v>
      </c>
      <c r="D3" s="7">
        <f>[1]الايضاحات!T12</f>
        <v>0</v>
      </c>
      <c r="E3" s="8">
        <f>[1]الايضاحات!V12</f>
        <v>0</v>
      </c>
      <c r="F3" s="8">
        <f>[1]الايضاحات!X12</f>
        <v>0</v>
      </c>
      <c r="G3" s="8">
        <f>[1]الايضاحات!Z12</f>
        <v>0</v>
      </c>
      <c r="H3" s="9">
        <f>[1]الايضاحات!AB12</f>
        <v>0</v>
      </c>
    </row>
    <row r="4" spans="1:8" x14ac:dyDescent="0.2">
      <c r="A4" s="3" t="s">
        <v>2</v>
      </c>
      <c r="B4" s="7">
        <f>[1]الايضاحات!P13</f>
        <v>22199177.149999999</v>
      </c>
      <c r="C4" s="7">
        <f>[1]الايضاحات!R13</f>
        <v>21766987.909999996</v>
      </c>
      <c r="D4" s="7">
        <f>[1]الايضاحات!T13</f>
        <v>21958105.329999998</v>
      </c>
      <c r="E4" s="8">
        <f>[1]الايضاحات!V13</f>
        <v>19733077.309999999</v>
      </c>
      <c r="F4" s="8">
        <f>[1]الايضاحات!X13</f>
        <v>19903916.759999998</v>
      </c>
      <c r="G4" s="8">
        <f>[1]الايضاحات!Z13</f>
        <v>20074784.07</v>
      </c>
      <c r="H4" s="9">
        <f>[1]الايضاحات!AB13</f>
        <v>20245724.849999998</v>
      </c>
    </row>
    <row r="5" spans="1:8" ht="15.75" x14ac:dyDescent="0.2">
      <c r="A5" s="10" t="s">
        <v>3</v>
      </c>
      <c r="B5" s="11">
        <f>SUM(B2:B4)</f>
        <v>50486765.189999998</v>
      </c>
      <c r="C5" s="11">
        <f>SUM(C2:C4)</f>
        <v>49430575.949999996</v>
      </c>
      <c r="D5" s="11">
        <f>SUM(D2:D4)</f>
        <v>49621693.369999997</v>
      </c>
      <c r="E5" s="12">
        <f>SUM(E2:E4)</f>
        <v>44997581.349999994</v>
      </c>
      <c r="F5" s="12">
        <f>SUM(F2:F4)</f>
        <v>45168420.799999997</v>
      </c>
      <c r="G5" s="12">
        <f>SUM(G2:G4)</f>
        <v>45339288.109999999</v>
      </c>
      <c r="H5" s="12">
        <f>SUM(H2:H4)</f>
        <v>45510228.890000001</v>
      </c>
    </row>
    <row r="6" spans="1:8" x14ac:dyDescent="0.2">
      <c r="A6" s="3" t="s">
        <v>4</v>
      </c>
      <c r="B6" s="7">
        <f>[1]الايضاحات!P23</f>
        <v>14943580.889999989</v>
      </c>
      <c r="C6" s="7">
        <f>[1]الايضاحات!R23</f>
        <v>13711093.810000001</v>
      </c>
      <c r="D6" s="7">
        <f>[1]الايضاحات!T23</f>
        <v>16704395.5</v>
      </c>
      <c r="E6" s="8">
        <f>[1]الايضاحات!V23</f>
        <v>7370521.9300000072</v>
      </c>
      <c r="F6" s="8">
        <f>[1]الايضاحات!X23</f>
        <v>22488344.050000008</v>
      </c>
      <c r="G6" s="8">
        <f>[1]الايضاحات!Z23</f>
        <v>40175935.459999979</v>
      </c>
      <c r="H6" s="9">
        <f>[1]الايضاحات!AB23</f>
        <v>48312473.840000004</v>
      </c>
    </row>
    <row r="7" spans="1:8" x14ac:dyDescent="0.2">
      <c r="A7" s="3" t="s">
        <v>5</v>
      </c>
      <c r="B7" s="7">
        <f>[1]الايضاحات!P39</f>
        <v>-0.30999999865889549</v>
      </c>
      <c r="C7" s="7">
        <f>[1]الايضاحات!R39</f>
        <v>-0.30999999865889549</v>
      </c>
      <c r="D7" s="7">
        <f>[1]الايضاحات!T39</f>
        <v>-0.30999999865889549</v>
      </c>
      <c r="E7" s="8">
        <f>[1]الايضاحات!V39</f>
        <v>-0.30999999865889549</v>
      </c>
      <c r="F7" s="8">
        <f>[1]الايضاحات!X39</f>
        <v>-0.30999999865889549</v>
      </c>
      <c r="G7" s="8">
        <f>[1]الايضاحات!Z39</f>
        <v>-0.30999999865889549</v>
      </c>
      <c r="H7" s="9">
        <f>[1]الايضاحات!AB39</f>
        <v>-0.30999999865889499</v>
      </c>
    </row>
    <row r="8" spans="1:8" x14ac:dyDescent="0.2">
      <c r="A8" s="3" t="s">
        <v>6</v>
      </c>
      <c r="B8" s="7">
        <f>[1]الايضاحات!P49</f>
        <v>21865000.519999959</v>
      </c>
      <c r="C8" s="7">
        <f>[1]الايضاحات!R49</f>
        <v>54827135.009999961</v>
      </c>
      <c r="D8" s="7">
        <f>[1]الايضاحات!T49</f>
        <v>41244559.470000014</v>
      </c>
      <c r="E8" s="8">
        <f>[1]الايضاحات!V49</f>
        <v>31136322.539999995</v>
      </c>
      <c r="F8" s="8">
        <f>[1]الايضاحات!X49</f>
        <v>9514470.6399999894</v>
      </c>
      <c r="G8" s="8">
        <f>[1]الايضاحات!Z49</f>
        <v>10873933.310000006</v>
      </c>
      <c r="H8" s="9">
        <f>[1]الايضاحات!AB49</f>
        <v>30131838.569999985</v>
      </c>
    </row>
    <row r="9" spans="1:8" x14ac:dyDescent="0.2">
      <c r="A9" s="3" t="s">
        <v>7</v>
      </c>
      <c r="B9" s="7">
        <f>[1]الايضاحات!P53</f>
        <v>0</v>
      </c>
      <c r="C9" s="7">
        <f>[1]الايضاحات!R53</f>
        <v>0</v>
      </c>
      <c r="D9" s="7">
        <f>[1]الايضاحات!T53</f>
        <v>0</v>
      </c>
      <c r="E9" s="8">
        <f>[1]الايضاحات!V53</f>
        <v>0</v>
      </c>
      <c r="F9" s="8">
        <f>[1]الايضاحات!X53</f>
        <v>0</v>
      </c>
      <c r="G9" s="8">
        <f>[1]الايضاحات!Z53</f>
        <v>0</v>
      </c>
      <c r="H9" s="9">
        <f>[1]الايضاحات!AB53</f>
        <v>0</v>
      </c>
    </row>
    <row r="10" spans="1:8" x14ac:dyDescent="0.2">
      <c r="A10" s="3" t="s">
        <v>8</v>
      </c>
      <c r="B10" s="7">
        <v>3637923.2</v>
      </c>
      <c r="C10" s="7">
        <f>[1]الايضاحات!R59</f>
        <v>3416615.87</v>
      </c>
      <c r="D10" s="7">
        <f>[1]الايضاحات!T59</f>
        <v>3637923.2</v>
      </c>
      <c r="E10" s="8">
        <f>[1]الايضاحات!V59</f>
        <v>3637923.2</v>
      </c>
      <c r="F10" s="8">
        <f>[1]الايضاحات!X59</f>
        <v>3404110.7</v>
      </c>
      <c r="G10" s="8">
        <f>[1]الايضاحات!Z59</f>
        <v>3636923.24</v>
      </c>
      <c r="H10" s="9">
        <f>[1]الايضاحات!AB59</f>
        <v>3636923.24</v>
      </c>
    </row>
    <row r="11" spans="1:8" ht="15.75" x14ac:dyDescent="0.2">
      <c r="A11" s="10" t="s">
        <v>9</v>
      </c>
      <c r="B11" s="11">
        <f>SUM(B6:B10)</f>
        <v>40446504.299999952</v>
      </c>
      <c r="C11" s="11">
        <f>SUM(C6:C10)</f>
        <v>71954844.379999965</v>
      </c>
      <c r="D11" s="11">
        <f>SUM(D6:D10)</f>
        <v>61586877.860000014</v>
      </c>
      <c r="E11" s="12">
        <f>SUM(E6:E10)</f>
        <v>42144767.360000007</v>
      </c>
      <c r="F11" s="12">
        <f>SUM(F6:F10)</f>
        <v>35406925.079999998</v>
      </c>
      <c r="G11" s="12">
        <f>SUM(G6:G10)</f>
        <v>54686791.699999981</v>
      </c>
      <c r="H11" s="12">
        <f>SUM(H6:H10)</f>
        <v>82081235.339999989</v>
      </c>
    </row>
    <row r="12" spans="1:8" ht="18" x14ac:dyDescent="0.25">
      <c r="A12" s="13" t="s">
        <v>10</v>
      </c>
      <c r="B12" s="14">
        <f>B11+B5</f>
        <v>90933269.48999995</v>
      </c>
      <c r="C12" s="14">
        <f>C11+C5</f>
        <v>121385420.32999995</v>
      </c>
      <c r="D12" s="15">
        <f>D5+D11</f>
        <v>111208571.23000002</v>
      </c>
      <c r="E12" s="15">
        <f>E11+E5</f>
        <v>87142348.710000008</v>
      </c>
      <c r="F12" s="15">
        <f>F11+F5</f>
        <v>80575345.879999995</v>
      </c>
      <c r="G12" s="15">
        <f>G11+G5</f>
        <v>100026079.80999997</v>
      </c>
      <c r="H12" s="15">
        <f>H5+H11</f>
        <v>127591464.22999999</v>
      </c>
    </row>
    <row r="13" spans="1:8" x14ac:dyDescent="0.2">
      <c r="A13" s="3" t="s">
        <v>11</v>
      </c>
      <c r="B13" s="7">
        <f>[1]الايضاحات!P69</f>
        <v>0</v>
      </c>
      <c r="C13" s="7">
        <f>[1]الايضاحات!R69</f>
        <v>0</v>
      </c>
      <c r="D13" s="7">
        <f>[1]الايضاحات!T69</f>
        <v>0</v>
      </c>
      <c r="E13" s="8">
        <f>[1]الايضاحات!V69</f>
        <v>0</v>
      </c>
      <c r="F13" s="8">
        <f>[1]الايضاحات!X69</f>
        <v>0</v>
      </c>
      <c r="G13" s="8">
        <f>[1]الايضاحات!Z69</f>
        <v>0</v>
      </c>
      <c r="H13" s="9">
        <f>[1]الايضاحات!AB69</f>
        <v>0</v>
      </c>
    </row>
    <row r="14" spans="1:8" x14ac:dyDescent="0.2">
      <c r="A14" s="3" t="s">
        <v>12</v>
      </c>
      <c r="B14" s="7">
        <f>[1]الايضاحات!P90</f>
        <v>457416.99000000948</v>
      </c>
      <c r="C14" s="7">
        <f>[1]الايضاحات!R90</f>
        <v>452680.99000000948</v>
      </c>
      <c r="D14" s="7">
        <f>[1]الايضاحات!T90</f>
        <v>422675.99000000948</v>
      </c>
      <c r="E14" s="8">
        <f>[1]الايضاحات!V90</f>
        <v>391625.81999999279</v>
      </c>
      <c r="F14" s="8">
        <f>[1]الايضاحات!X90</f>
        <v>134813.46000000829</v>
      </c>
      <c r="G14" s="8">
        <f>[1]الايضاحات!Z90</f>
        <v>-321246.90000000602</v>
      </c>
      <c r="H14" s="9">
        <f>[1]الايضاحات!AB90</f>
        <v>4.6100000143051147</v>
      </c>
    </row>
    <row r="15" spans="1:8" x14ac:dyDescent="0.2">
      <c r="A15" s="3" t="s">
        <v>13</v>
      </c>
      <c r="B15" s="7">
        <f>[1]الايضاحات!P104</f>
        <v>0</v>
      </c>
      <c r="C15" s="7">
        <f>[1]الايضاحات!R104</f>
        <v>0</v>
      </c>
      <c r="D15" s="7">
        <f>[1]الايضاحات!T104</f>
        <v>0</v>
      </c>
      <c r="E15" s="8">
        <f>[1]الايضاحات!V104</f>
        <v>0</v>
      </c>
      <c r="F15" s="8">
        <f>[1]الايضاحات!X104</f>
        <v>0</v>
      </c>
      <c r="G15" s="8">
        <f>[1]الايضاحات!Z104</f>
        <v>0</v>
      </c>
      <c r="H15" s="9">
        <f>[1]الايضاحات!AB104</f>
        <v>0</v>
      </c>
    </row>
    <row r="16" spans="1:8" x14ac:dyDescent="0.2">
      <c r="A16" s="3" t="s">
        <v>14</v>
      </c>
      <c r="B16" s="8">
        <f>727553+59413</f>
        <v>786966</v>
      </c>
      <c r="C16" s="8">
        <f>727553+59413</f>
        <v>786966</v>
      </c>
      <c r="D16" s="8">
        <f>727553+59413</f>
        <v>786966</v>
      </c>
      <c r="E16" s="8">
        <f>727553+59413</f>
        <v>786966</v>
      </c>
      <c r="F16" s="8">
        <f>727553+59413</f>
        <v>786966</v>
      </c>
      <c r="G16" s="8">
        <f>727553+59413</f>
        <v>786966</v>
      </c>
      <c r="H16" s="9">
        <f>727553+59413</f>
        <v>786966</v>
      </c>
    </row>
    <row r="17" spans="1:8" x14ac:dyDescent="0.2">
      <c r="A17" s="3" t="s">
        <v>8</v>
      </c>
      <c r="B17" s="7">
        <f>[1]الايضاحات!P112</f>
        <v>12923.44</v>
      </c>
      <c r="C17" s="7">
        <f>[1]الايضاحات!R112</f>
        <v>12923.44</v>
      </c>
      <c r="D17" s="7">
        <f>[1]الايضاحات!T112</f>
        <v>12923.44</v>
      </c>
      <c r="E17" s="8">
        <f>[1]الايضاحات!V112</f>
        <v>12923.44</v>
      </c>
      <c r="F17" s="8">
        <f>[1]الايضاحات!X112</f>
        <v>12923.44</v>
      </c>
      <c r="G17" s="8">
        <f>[1]الايضاحات!Z112</f>
        <v>12923.44</v>
      </c>
      <c r="H17" s="9">
        <f>[1]الايضاحات!AB112</f>
        <v>12923.44</v>
      </c>
    </row>
    <row r="18" spans="1:8" ht="15.75" x14ac:dyDescent="0.2">
      <c r="A18" s="10" t="s">
        <v>15</v>
      </c>
      <c r="B18" s="11">
        <f>SUM(B13:B17)</f>
        <v>1257306.4300000095</v>
      </c>
      <c r="C18" s="11">
        <f>SUM(C13:C17)</f>
        <v>1252570.4300000095</v>
      </c>
      <c r="D18" s="11">
        <f>SUM(D13:D17)</f>
        <v>1222565.4300000095</v>
      </c>
      <c r="E18" s="12">
        <f>SUM(E13:E17)</f>
        <v>1191515.2599999928</v>
      </c>
      <c r="F18" s="12">
        <f>SUM(F13:F17)</f>
        <v>934702.90000000829</v>
      </c>
      <c r="G18" s="12">
        <f>SUM(G13:G17)</f>
        <v>478642.53999999398</v>
      </c>
      <c r="H18" s="12">
        <f>SUM(H13:H17)</f>
        <v>799894.05000001425</v>
      </c>
    </row>
    <row r="19" spans="1:8" x14ac:dyDescent="0.2">
      <c r="A19" s="3" t="s">
        <v>16</v>
      </c>
      <c r="B19" s="7">
        <v>8000000</v>
      </c>
      <c r="C19" s="7">
        <v>8000000</v>
      </c>
      <c r="D19" s="7">
        <v>8000000</v>
      </c>
      <c r="E19" s="8">
        <v>8000000</v>
      </c>
      <c r="F19" s="8">
        <v>8000000</v>
      </c>
      <c r="G19" s="8">
        <v>8000000</v>
      </c>
      <c r="H19" s="9">
        <v>8000000</v>
      </c>
    </row>
    <row r="20" spans="1:8" x14ac:dyDescent="0.2">
      <c r="A20" s="3" t="s">
        <v>17</v>
      </c>
      <c r="B20" s="7">
        <v>4000000</v>
      </c>
      <c r="C20" s="7">
        <v>4000000</v>
      </c>
      <c r="D20" s="7">
        <v>4000000</v>
      </c>
      <c r="E20" s="8">
        <v>4000000</v>
      </c>
      <c r="F20" s="8">
        <v>4000000</v>
      </c>
      <c r="G20" s="8">
        <v>4000000</v>
      </c>
      <c r="H20" s="9">
        <v>4000000</v>
      </c>
    </row>
    <row r="21" spans="1:8" x14ac:dyDescent="0.2">
      <c r="A21" s="3" t="s">
        <v>18</v>
      </c>
      <c r="B21" s="7">
        <v>224248873.15000001</v>
      </c>
      <c r="C21" s="7">
        <v>224248873.15000001</v>
      </c>
      <c r="D21" s="7">
        <v>224248873.15000001</v>
      </c>
      <c r="E21" s="8">
        <v>224248873.15000001</v>
      </c>
      <c r="F21" s="8">
        <v>224248873.15000001</v>
      </c>
      <c r="G21" s="8">
        <v>224248873.15000001</v>
      </c>
      <c r="H21" s="9">
        <v>205235785.91</v>
      </c>
    </row>
    <row r="22" spans="1:8" x14ac:dyDescent="0.2">
      <c r="A22" s="3" t="s">
        <v>19</v>
      </c>
      <c r="B22" s="7">
        <f>'[1]قائمة الدخل'!O36</f>
        <v>1803626.7499999756</v>
      </c>
      <c r="C22" s="7">
        <f>'[1]قائمة الدخل'!Q36</f>
        <v>10102344.589999976</v>
      </c>
      <c r="D22" s="7">
        <f>'[1]قائمة الدخل'!S36</f>
        <v>13372462.680000003</v>
      </c>
      <c r="E22" s="8">
        <f>'[1]قائمة الدخل'!U36</f>
        <v>7088687.7199999718</v>
      </c>
      <c r="F22" s="8">
        <f>'[1]قائمة الدخل'!W36</f>
        <v>6033176.7500000028</v>
      </c>
      <c r="G22" s="8">
        <f>'[1]قائمة الدخل'!Y36</f>
        <v>5096691.0900000576</v>
      </c>
      <c r="H22" s="9">
        <f>'[1]قائمة الدخل'!AA36</f>
        <v>19013087.240000173</v>
      </c>
    </row>
    <row r="23" spans="1:8" ht="15.75" x14ac:dyDescent="0.2">
      <c r="A23" s="10" t="s">
        <v>20</v>
      </c>
      <c r="B23" s="11">
        <f>SUM(B19:B22)</f>
        <v>238052499.89999998</v>
      </c>
      <c r="C23" s="11">
        <f>SUM(C19:C22)</f>
        <v>246351217.73999998</v>
      </c>
      <c r="D23" s="11">
        <f>SUM(D19:D22)</f>
        <v>249621335.83000001</v>
      </c>
      <c r="E23" s="12">
        <f>SUM(E19:E22)</f>
        <v>243337560.86999997</v>
      </c>
      <c r="F23" s="12">
        <f>SUM(F19:F22)</f>
        <v>242282049.90000001</v>
      </c>
      <c r="G23" s="12">
        <f>SUM(G19:G22)</f>
        <v>241345564.24000007</v>
      </c>
      <c r="H23" s="12">
        <f>SUM(H19:H22)</f>
        <v>236248873.15000015</v>
      </c>
    </row>
    <row r="24" spans="1:8" ht="18.75" thickBot="1" x14ac:dyDescent="0.25">
      <c r="A24" s="16" t="s">
        <v>21</v>
      </c>
      <c r="B24" s="18">
        <f>B23+B18</f>
        <v>239309806.32999998</v>
      </c>
      <c r="C24" s="17">
        <f>C23+C18</f>
        <v>247603788.16999999</v>
      </c>
      <c r="D24" s="17">
        <f>D18+D23</f>
        <v>250843901.26000002</v>
      </c>
      <c r="E24" s="17">
        <f>E23+E18</f>
        <v>244529076.12999997</v>
      </c>
      <c r="F24" s="17">
        <f>F18+F23</f>
        <v>243216752.80000001</v>
      </c>
      <c r="G24" s="17">
        <f>G23+G18</f>
        <v>241824206.78000006</v>
      </c>
      <c r="H24" s="17">
        <f>H18+H23</f>
        <v>237048767.20000017</v>
      </c>
    </row>
  </sheetData>
  <autoFilter ref="A1:AA24" xr:uid="{48C9DD0B-B807-40B8-A766-55A084718CA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2026-06-12T05:47:13Z</dcterms:created>
  <dcterms:modified xsi:type="dcterms:W3CDTF">2026-07-13T12:26:57Z</dcterms:modified>
</cp:coreProperties>
</file>